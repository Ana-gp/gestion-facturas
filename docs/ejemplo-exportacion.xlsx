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'Gastos'!$A$1:$T$13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2457A7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2" customWidth="1" min="4" max="4"/>
    <col width="30" customWidth="1" min="5" max="5"/>
    <col width="14" customWidth="1" min="6" max="6"/>
    <col width="13" customWidth="1" min="7" max="7"/>
    <col width="2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9" customWidth="1" min="14" max="14"/>
    <col width="12" customWidth="1" min="15" max="15"/>
    <col width="10" customWidth="1" min="16" max="16"/>
    <col width="12" customWidth="1" min="17" max="17"/>
    <col width="12" customWidth="1" min="18" max="18"/>
    <col width="34" customWidth="1" min="19" max="19"/>
    <col width="40" customWidth="1" min="20" max="20"/>
  </cols>
  <sheetData>
    <row r="1" ht="32" customHeight="1">
      <c r="A1" s="1" t="inlineStr">
        <is>
          <t>Nº de orden</t>
        </is>
      </c>
      <c r="B1" s="1" t="inlineStr">
        <is>
          <t>Fecha</t>
        </is>
      </c>
      <c r="C1" s="1" t="inlineStr">
        <is>
          <t>Tipo de documento</t>
        </is>
      </c>
      <c r="D1" s="1" t="inlineStr">
        <is>
          <t>Nº de factura</t>
        </is>
      </c>
      <c r="E1" s="1" t="inlineStr">
        <is>
          <t>Emisor</t>
        </is>
      </c>
      <c r="F1" s="1" t="inlineStr">
        <is>
          <t>NIF del emisor</t>
        </is>
      </c>
      <c r="G1" s="1" t="inlineStr">
        <is>
          <t>NIF del receptor</t>
        </is>
      </c>
      <c r="H1" s="1" t="inlineStr">
        <is>
          <t>Categoría</t>
        </is>
      </c>
      <c r="I1" s="1" t="inlineStr">
        <is>
          <t>Tipo de IVA (%)</t>
        </is>
      </c>
      <c r="J1" s="1" t="inlineStr">
        <is>
          <t>Base imponible (€)</t>
        </is>
      </c>
      <c r="K1" s="1" t="inlineStr">
        <is>
          <t>Cuota de IVA (€)</t>
        </is>
      </c>
      <c r="L1" s="1" t="inlineStr">
        <is>
          <t>Retención IRPF (€)</t>
        </is>
      </c>
      <c r="M1" s="1" t="inlineStr">
        <is>
          <t>Total factura (€)</t>
        </is>
      </c>
      <c r="N1" s="1" t="inlineStr">
        <is>
          <t>Moneda original</t>
        </is>
      </c>
      <c r="O1" s="1" t="inlineStr">
        <is>
          <t>Total en moneda original</t>
        </is>
      </c>
      <c r="P1" s="1" t="inlineStr">
        <is>
          <t>Tipo de cambio</t>
        </is>
      </c>
      <c r="Q1" s="1" t="inlineStr">
        <is>
          <t>Fecha del tipo de cambio</t>
        </is>
      </c>
      <c r="R1" s="1" t="inlineStr">
        <is>
          <t>Estado</t>
        </is>
      </c>
      <c r="S1" s="1" t="inlineStr">
        <is>
          <t>Avisos</t>
        </is>
      </c>
      <c r="T1" s="1" t="inlineStr">
        <is>
          <t>Archivo original</t>
        </is>
      </c>
    </row>
    <row r="2">
      <c r="A2" s="2" t="n">
        <v>1</v>
      </c>
      <c r="B2" s="3" t="n">
        <v>45902</v>
      </c>
      <c r="C2" s="2" t="inlineStr">
        <is>
          <t>Ticket</t>
        </is>
      </c>
      <c r="D2" s="2" t="inlineStr">
        <is>
          <t>132740032509026056</t>
        </is>
      </c>
      <c r="E2" s="2" t="inlineStr">
        <is>
          <t>Vego Supermercados S.A.U.</t>
        </is>
      </c>
      <c r="F2" s="2" t="inlineStr">
        <is>
          <t>A36651313</t>
        </is>
      </c>
      <c r="G2" s="2" t="n"/>
      <c r="H2" s="2" t="inlineStr">
        <is>
          <t>Alimentación</t>
        </is>
      </c>
      <c r="I2" s="2" t="n">
        <v>10</v>
      </c>
      <c r="J2" s="4" t="n">
        <v>44.58</v>
      </c>
      <c r="K2" s="4" t="n">
        <v>4.46</v>
      </c>
      <c r="L2" s="4" t="n"/>
      <c r="M2" s="4" t="n">
        <v>115.2</v>
      </c>
      <c r="N2" s="2" t="inlineStr">
        <is>
          <t>EUR</t>
        </is>
      </c>
      <c r="O2" s="2" t="n"/>
      <c r="P2" s="2" t="n"/>
      <c r="Q2" s="2" t="n"/>
      <c r="R2" s="2" t="inlineStr">
        <is>
          <t>Revisada</t>
        </is>
      </c>
      <c r="S2" s="2" t="inlineStr">
        <is>
          <t>Sin NIF del receptor</t>
        </is>
      </c>
      <c r="T2" s="2" t="inlineStr">
        <is>
          <t>001_2025-09-02_Vego.jpg</t>
        </is>
      </c>
    </row>
    <row r="3">
      <c r="A3" s="2" t="n">
        <v>1</v>
      </c>
      <c r="B3" s="3" t="n">
        <v>45902</v>
      </c>
      <c r="C3" s="2" t="inlineStr">
        <is>
          <t>Ticket</t>
        </is>
      </c>
      <c r="D3" s="2" t="inlineStr">
        <is>
          <t>132740032509026056</t>
        </is>
      </c>
      <c r="E3" s="2" t="inlineStr">
        <is>
          <t>Vego Supermercados S.A.U.</t>
        </is>
      </c>
      <c r="F3" s="2" t="inlineStr">
        <is>
          <t>A36651313</t>
        </is>
      </c>
      <c r="G3" s="2" t="n"/>
      <c r="H3" s="2" t="inlineStr">
        <is>
          <t>Alimentación</t>
        </is>
      </c>
      <c r="I3" s="2" t="n">
        <v>21</v>
      </c>
      <c r="J3" s="4" t="n">
        <v>10.29</v>
      </c>
      <c r="K3" s="4" t="n">
        <v>2.16</v>
      </c>
      <c r="L3" s="4" t="n"/>
      <c r="M3" s="4" t="n"/>
      <c r="N3" s="2" t="inlineStr">
        <is>
          <t>EUR</t>
        </is>
      </c>
      <c r="O3" s="2" t="n"/>
      <c r="P3" s="2" t="n"/>
      <c r="Q3" s="2" t="n"/>
      <c r="R3" s="2" t="inlineStr">
        <is>
          <t>Revisada</t>
        </is>
      </c>
      <c r="S3" s="2" t="inlineStr">
        <is>
          <t>Sin NIF del receptor</t>
        </is>
      </c>
      <c r="T3" s="2" t="inlineStr">
        <is>
          <t>001_2025-09-02_Vego.jpg</t>
        </is>
      </c>
    </row>
    <row r="4">
      <c r="A4" s="2" t="n">
        <v>1</v>
      </c>
      <c r="B4" s="3" t="n">
        <v>45902</v>
      </c>
      <c r="C4" s="2" t="inlineStr">
        <is>
          <t>Ticket</t>
        </is>
      </c>
      <c r="D4" s="2" t="inlineStr">
        <is>
          <t>132740032509026056</t>
        </is>
      </c>
      <c r="E4" s="2" t="inlineStr">
        <is>
          <t>Vego Supermercados S.A.U.</t>
        </is>
      </c>
      <c r="F4" s="2" t="inlineStr">
        <is>
          <t>A36651313</t>
        </is>
      </c>
      <c r="G4" s="2" t="n"/>
      <c r="H4" s="2" t="inlineStr">
        <is>
          <t>Alimentación</t>
        </is>
      </c>
      <c r="I4" s="2" t="n">
        <v>4</v>
      </c>
      <c r="J4" s="4" t="n">
        <v>51.64</v>
      </c>
      <c r="K4" s="4" t="n">
        <v>2.07</v>
      </c>
      <c r="L4" s="4" t="n"/>
      <c r="M4" s="4" t="n"/>
      <c r="N4" s="2" t="inlineStr">
        <is>
          <t>EUR</t>
        </is>
      </c>
      <c r="O4" s="2" t="n"/>
      <c r="P4" s="2" t="n"/>
      <c r="Q4" s="2" t="n"/>
      <c r="R4" s="2" t="inlineStr">
        <is>
          <t>Revisada</t>
        </is>
      </c>
      <c r="S4" s="2" t="inlineStr">
        <is>
          <t>Sin NIF del receptor</t>
        </is>
      </c>
      <c r="T4" s="2" t="inlineStr">
        <is>
          <t>001_2025-09-02_Vego.jpg</t>
        </is>
      </c>
    </row>
    <row r="5">
      <c r="A5" s="2" t="n">
        <v>2</v>
      </c>
      <c r="B5" s="3" t="n">
        <v>46088</v>
      </c>
      <c r="C5" s="2" t="inlineStr">
        <is>
          <t>Ticket</t>
        </is>
      </c>
      <c r="D5" s="2" t="inlineStr">
        <is>
          <t>2023018651</t>
        </is>
      </c>
      <c r="E5" s="2" t="inlineStr">
        <is>
          <t>E.S. Villaquejida - Sutecal</t>
        </is>
      </c>
      <c r="F5" s="2" t="inlineStr">
        <is>
          <t>B49268071</t>
        </is>
      </c>
      <c r="G5" s="2" t="n"/>
      <c r="H5" s="2" t="inlineStr">
        <is>
          <t>Combustible y transporte</t>
        </is>
      </c>
      <c r="I5" s="2" t="n">
        <v>21</v>
      </c>
      <c r="J5" s="4" t="n">
        <v>88.20999999999999</v>
      </c>
      <c r="K5" s="4" t="n">
        <v>18.53</v>
      </c>
      <c r="L5" s="4" t="n"/>
      <c r="M5" s="4" t="n">
        <v>106.74</v>
      </c>
      <c r="N5" s="2" t="inlineStr">
        <is>
          <t>EUR</t>
        </is>
      </c>
      <c r="O5" s="2" t="n"/>
      <c r="P5" s="2" t="n"/>
      <c r="Q5" s="2" t="n"/>
      <c r="R5" s="2" t="inlineStr">
        <is>
          <t>Revisada</t>
        </is>
      </c>
      <c r="S5" s="2" t="inlineStr">
        <is>
          <t>Sin NIF del receptor</t>
        </is>
      </c>
      <c r="T5" s="2" t="inlineStr">
        <is>
          <t>002_2026-03-07_ES-Villaquejida.jpg</t>
        </is>
      </c>
    </row>
    <row r="6">
      <c r="A6" s="2" t="n">
        <v>3</v>
      </c>
      <c r="B6" s="3" t="n">
        <v>46198</v>
      </c>
      <c r="C6" s="2" t="inlineStr">
        <is>
          <t>Ticket</t>
        </is>
      </c>
      <c r="D6" s="2" t="inlineStr">
        <is>
          <t>20832606010734</t>
        </is>
      </c>
      <c r="E6" s="2" t="inlineStr">
        <is>
          <t>DRUNI, S.A.</t>
        </is>
      </c>
      <c r="F6" s="2" t="inlineStr">
        <is>
          <t>A46581666</t>
        </is>
      </c>
      <c r="G6" s="2" t="n"/>
      <c r="H6" s="2" t="inlineStr">
        <is>
          <t>Otros</t>
        </is>
      </c>
      <c r="I6" s="2" t="n">
        <v>21</v>
      </c>
      <c r="J6" s="4" t="n">
        <v>17.28</v>
      </c>
      <c r="K6" s="4" t="n">
        <v>3.63</v>
      </c>
      <c r="L6" s="4" t="n"/>
      <c r="M6" s="4" t="n">
        <v>28.89</v>
      </c>
      <c r="N6" s="2" t="inlineStr">
        <is>
          <t>EUR</t>
        </is>
      </c>
      <c r="O6" s="2" t="n"/>
      <c r="P6" s="2" t="n"/>
      <c r="Q6" s="2" t="n"/>
      <c r="R6" s="2" t="inlineStr">
        <is>
          <t>Revisada</t>
        </is>
      </c>
      <c r="S6" s="2" t="inlineStr">
        <is>
          <t>Sin NIF del receptor</t>
        </is>
      </c>
      <c r="T6" s="2" t="inlineStr">
        <is>
          <t>003_2026-06-25_Druni.pdf</t>
        </is>
      </c>
    </row>
    <row r="7">
      <c r="A7" s="2" t="n">
        <v>3</v>
      </c>
      <c r="B7" s="3" t="n">
        <v>46198</v>
      </c>
      <c r="C7" s="2" t="inlineStr">
        <is>
          <t>Ticket</t>
        </is>
      </c>
      <c r="D7" s="2" t="inlineStr">
        <is>
          <t>20832606010734</t>
        </is>
      </c>
      <c r="E7" s="2" t="inlineStr">
        <is>
          <t>DRUNI, S.A.</t>
        </is>
      </c>
      <c r="F7" s="2" t="inlineStr">
        <is>
          <t>A46581666</t>
        </is>
      </c>
      <c r="G7" s="2" t="n"/>
      <c r="H7" s="2" t="inlineStr">
        <is>
          <t>Otros</t>
        </is>
      </c>
      <c r="I7" s="2" t="n">
        <v>4</v>
      </c>
      <c r="J7" s="4" t="n">
        <v>7.67</v>
      </c>
      <c r="K7" s="4" t="n">
        <v>0.31</v>
      </c>
      <c r="L7" s="4" t="n"/>
      <c r="M7" s="4" t="n"/>
      <c r="N7" s="2" t="inlineStr">
        <is>
          <t>EUR</t>
        </is>
      </c>
      <c r="O7" s="2" t="n"/>
      <c r="P7" s="2" t="n"/>
      <c r="Q7" s="2" t="n"/>
      <c r="R7" s="2" t="inlineStr">
        <is>
          <t>Revisada</t>
        </is>
      </c>
      <c r="S7" s="2" t="inlineStr">
        <is>
          <t>Sin NIF del receptor</t>
        </is>
      </c>
      <c r="T7" s="2" t="inlineStr">
        <is>
          <t>003_2026-06-25_Druni.pdf</t>
        </is>
      </c>
    </row>
    <row r="8">
      <c r="A8" s="2" t="n">
        <v>4</v>
      </c>
      <c r="B8" s="3" t="n">
        <v>46263</v>
      </c>
      <c r="C8" s="2" t="inlineStr">
        <is>
          <t>Ticket</t>
        </is>
      </c>
      <c r="D8" s="2" t="inlineStr">
        <is>
          <t>1 / 388087</t>
        </is>
      </c>
      <c r="E8" s="2" t="inlineStr">
        <is>
          <t>Cerveceria Celtica S.L.</t>
        </is>
      </c>
      <c r="F8" s="2" t="inlineStr">
        <is>
          <t>B24610297</t>
        </is>
      </c>
      <c r="G8" s="2" t="n"/>
      <c r="H8" s="2" t="inlineStr">
        <is>
          <t>Restauración y dietas</t>
        </is>
      </c>
      <c r="I8" s="2" t="n">
        <v>10</v>
      </c>
      <c r="J8" s="4" t="n">
        <v>19.09</v>
      </c>
      <c r="K8" s="4" t="n">
        <v>1.91</v>
      </c>
      <c r="L8" s="4" t="n"/>
      <c r="M8" s="4" t="n">
        <v>21</v>
      </c>
      <c r="N8" s="2" t="inlineStr">
        <is>
          <t>EUR</t>
        </is>
      </c>
      <c r="O8" s="2" t="n"/>
      <c r="P8" s="2" t="n"/>
      <c r="Q8" s="2" t="n"/>
      <c r="R8" s="2" t="inlineStr">
        <is>
          <t>Revisada</t>
        </is>
      </c>
      <c r="S8" s="2" t="inlineStr">
        <is>
          <t>Sin NIF del receptor</t>
        </is>
      </c>
      <c r="T8" s="2" t="inlineStr">
        <is>
          <t>004_2026-08-29_Cerveceria-Celtica.jpg</t>
        </is>
      </c>
    </row>
    <row r="9">
      <c r="A9" s="2" t="n">
        <v>5</v>
      </c>
      <c r="B9" s="3" t="n">
        <v>46273</v>
      </c>
      <c r="C9" s="2" t="inlineStr">
        <is>
          <t>Ticket</t>
        </is>
      </c>
      <c r="D9" s="2" t="n"/>
      <c r="E9" s="2" t="inlineStr">
        <is>
          <t>Alcampo Santa Nonia</t>
        </is>
      </c>
      <c r="F9" s="2" t="n"/>
      <c r="G9" s="2" t="n"/>
      <c r="H9" s="2" t="inlineStr">
        <is>
          <t>Alimentación</t>
        </is>
      </c>
      <c r="I9" s="2" t="n">
        <v>4</v>
      </c>
      <c r="J9" s="4" t="n">
        <v>4.05</v>
      </c>
      <c r="K9" s="4" t="n">
        <v>0.15</v>
      </c>
      <c r="L9" s="4" t="n"/>
      <c r="M9" s="4" t="n">
        <v>5.79</v>
      </c>
      <c r="N9" s="2" t="inlineStr">
        <is>
          <t>EUR</t>
        </is>
      </c>
      <c r="O9" s="2" t="n"/>
      <c r="P9" s="2" t="n"/>
      <c r="Q9" s="2" t="n"/>
      <c r="R9" s="2" t="inlineStr">
        <is>
          <t>Revisada</t>
        </is>
      </c>
      <c r="S9" s="2" t="inlineStr">
        <is>
          <t>Sin NIF del receptor; Sin NIF del emisor</t>
        </is>
      </c>
      <c r="T9" s="2" t="inlineStr">
        <is>
          <t>005_2026-09-08_Alcampo.jpg</t>
        </is>
      </c>
    </row>
    <row r="10">
      <c r="A10" s="2" t="n">
        <v>5</v>
      </c>
      <c r="B10" s="3" t="n">
        <v>46273</v>
      </c>
      <c r="C10" s="2" t="inlineStr">
        <is>
          <t>Ticket</t>
        </is>
      </c>
      <c r="D10" s="2" t="n"/>
      <c r="E10" s="2" t="inlineStr">
        <is>
          <t>Alcampo Santa Nonia</t>
        </is>
      </c>
      <c r="F10" s="2" t="n"/>
      <c r="G10" s="2" t="n"/>
      <c r="H10" s="2" t="inlineStr">
        <is>
          <t>Alimentación</t>
        </is>
      </c>
      <c r="I10" s="2" t="n">
        <v>21</v>
      </c>
      <c r="J10" s="4" t="n">
        <v>1.31</v>
      </c>
      <c r="K10" s="4" t="n">
        <v>0.28</v>
      </c>
      <c r="L10" s="4" t="n"/>
      <c r="M10" s="4" t="n"/>
      <c r="N10" s="2" t="inlineStr">
        <is>
          <t>EUR</t>
        </is>
      </c>
      <c r="O10" s="2" t="n"/>
      <c r="P10" s="2" t="n"/>
      <c r="Q10" s="2" t="n"/>
      <c r="R10" s="2" t="inlineStr">
        <is>
          <t>Revisada</t>
        </is>
      </c>
      <c r="S10" s="2" t="inlineStr">
        <is>
          <t>Sin NIF del receptor; Sin NIF del emisor</t>
        </is>
      </c>
      <c r="T10" s="2" t="inlineStr">
        <is>
          <t>005_2026-09-08_Alcampo.jpg</t>
        </is>
      </c>
    </row>
    <row r="11">
      <c r="A11" s="2" t="n">
        <v>6</v>
      </c>
      <c r="B11" s="3" t="n">
        <v>46309</v>
      </c>
      <c r="C11" s="2" t="inlineStr">
        <is>
          <t>Factura</t>
        </is>
      </c>
      <c r="D11" s="2" t="inlineStr">
        <is>
          <t>9BF0758D-8771996</t>
        </is>
      </c>
      <c r="E11" s="2" t="inlineStr">
        <is>
          <t>Anthropic Ireland, Limited</t>
        </is>
      </c>
      <c r="F11" s="2" t="inlineStr">
        <is>
          <t>IE4276970QH</t>
        </is>
      </c>
      <c r="G11" s="2" t="n"/>
      <c r="H11" s="2" t="inlineStr">
        <is>
          <t>Software y suscripciones</t>
        </is>
      </c>
      <c r="I11" s="2" t="n">
        <v>21</v>
      </c>
      <c r="J11" s="4" t="n">
        <v>18</v>
      </c>
      <c r="K11" s="4" t="n">
        <v>3.78</v>
      </c>
      <c r="L11" s="4" t="n"/>
      <c r="M11" s="4" t="n">
        <v>21.78</v>
      </c>
      <c r="N11" s="2" t="inlineStr">
        <is>
          <t>EUR</t>
        </is>
      </c>
      <c r="O11" s="2" t="n"/>
      <c r="P11" s="2" t="n"/>
      <c r="Q11" s="2" t="n"/>
      <c r="R11" s="2" t="inlineStr">
        <is>
          <t>Revisada</t>
        </is>
      </c>
      <c r="S11" s="2" t="inlineStr">
        <is>
          <t>Sin NIF del receptor</t>
        </is>
      </c>
      <c r="T11" s="2" t="inlineStr">
        <is>
          <t>006_2026-10-14_Anthropic.pdf</t>
        </is>
      </c>
    </row>
    <row r="12">
      <c r="A12" s="2" t="n">
        <v>7</v>
      </c>
      <c r="B12" s="3" t="n">
        <v>46314</v>
      </c>
      <c r="C12" s="2" t="inlineStr">
        <is>
          <t>Ticket</t>
        </is>
      </c>
      <c r="D12" s="2" t="inlineStr">
        <is>
          <t>N0020008261019000107</t>
        </is>
      </c>
      <c r="E12" s="2" t="inlineStr">
        <is>
          <t>Centros Comerciales Carrefour S.A.</t>
        </is>
      </c>
      <c r="F12" s="2" t="inlineStr">
        <is>
          <t>A28425270</t>
        </is>
      </c>
      <c r="G12" s="2" t="n"/>
      <c r="H12" s="2" t="inlineStr">
        <is>
          <t>Otros</t>
        </is>
      </c>
      <c r="I12" s="2" t="n">
        <v>21</v>
      </c>
      <c r="J12" s="4" t="n">
        <v>8.26</v>
      </c>
      <c r="K12" s="4" t="n">
        <v>1.73</v>
      </c>
      <c r="L12" s="4" t="n"/>
      <c r="M12" s="4" t="n">
        <v>9.99</v>
      </c>
      <c r="N12" s="2" t="inlineStr">
        <is>
          <t>EUR</t>
        </is>
      </c>
      <c r="O12" s="2" t="n"/>
      <c r="P12" s="2" t="n"/>
      <c r="Q12" s="2" t="n"/>
      <c r="R12" s="2" t="inlineStr">
        <is>
          <t>Revisada</t>
        </is>
      </c>
      <c r="S12" s="2" t="inlineStr">
        <is>
          <t>Sin NIF del receptor</t>
        </is>
      </c>
      <c r="T12" s="2" t="inlineStr">
        <is>
          <t>007_2026-10-19_Carrefour.pdf</t>
        </is>
      </c>
    </row>
    <row r="13">
      <c r="A13" s="2" t="n">
        <v>8</v>
      </c>
      <c r="B13" s="3" t="n">
        <v>46320</v>
      </c>
      <c r="C13" s="2" t="inlineStr">
        <is>
          <t>Ticket</t>
        </is>
      </c>
      <c r="D13" s="2" t="n"/>
      <c r="E13" s="2" t="inlineStr">
        <is>
          <t>AUCALSA</t>
        </is>
      </c>
      <c r="F13" s="2" t="inlineStr">
        <is>
          <t>A28415784</t>
        </is>
      </c>
      <c r="G13" s="2" t="n"/>
      <c r="H13" s="2" t="inlineStr">
        <is>
          <t>Combustible y transporte</t>
        </is>
      </c>
      <c r="I13" s="2" t="n">
        <v>21</v>
      </c>
      <c r="J13" s="4" t="n">
        <v>8.43</v>
      </c>
      <c r="K13" s="4" t="n">
        <v>1.77</v>
      </c>
      <c r="L13" s="4" t="n"/>
      <c r="M13" s="4" t="n">
        <v>10.2</v>
      </c>
      <c r="N13" s="2" t="inlineStr">
        <is>
          <t>EUR</t>
        </is>
      </c>
      <c r="O13" s="2" t="n"/>
      <c r="P13" s="2" t="n"/>
      <c r="Q13" s="2" t="n"/>
      <c r="R13" s="2" t="inlineStr">
        <is>
          <t>Revisada</t>
        </is>
      </c>
      <c r="S13" s="2" t="inlineStr">
        <is>
          <t>Sin NIF del receptor</t>
        </is>
      </c>
      <c r="T13" s="2" t="inlineStr">
        <is>
          <t>008_2026-10-25_AUCALSA.jpg</t>
        </is>
      </c>
    </row>
  </sheetData>
  <autoFilter ref="A1:T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8" customWidth="1" min="3" max="3"/>
  </cols>
  <sheetData>
    <row r="1">
      <c r="A1" s="5" t="inlineStr">
        <is>
          <t>Exportación de gastos para la gestoría</t>
        </is>
      </c>
    </row>
    <row r="3">
      <c r="A3" s="6" t="inlineStr">
        <is>
          <t>Periodo</t>
        </is>
      </c>
      <c r="B3" t="inlineStr">
        <is>
          <t>Ejemplo con los tickets de prueba (no es un periodo real)</t>
        </is>
      </c>
    </row>
    <row r="4">
      <c r="A4" s="6" t="inlineStr">
        <is>
          <t>Fecha de exportación</t>
        </is>
      </c>
      <c r="B4" s="7" t="n">
        <v>46324</v>
      </c>
    </row>
    <row r="5">
      <c r="A5" s="6" t="inlineStr">
        <is>
          <t>Titular de la cuenta</t>
        </is>
      </c>
      <c r="B5" t="inlineStr">
        <is>
          <t>Cuenta de ejemplo</t>
        </is>
      </c>
    </row>
    <row r="6">
      <c r="A6" s="6" t="inlineStr">
        <is>
          <t>Número de documentos</t>
        </is>
      </c>
      <c r="B6">
        <f>MAX(Gastos!A2:A13)</f>
        <v/>
      </c>
    </row>
    <row r="7">
      <c r="A7" s="6" t="inlineStr">
        <is>
          <t>Documentos con avisos</t>
        </is>
      </c>
      <c r="B7">
        <f>SUMPRODUCT((Gastos!S2:S13&lt;&gt;"")/COUNTIF(Gastos!A2:A13,Gastos!A2:A13))</f>
        <v/>
      </c>
    </row>
    <row r="8">
      <c r="A8" s="6" t="inlineStr">
        <is>
          <t>Documentos pendientes de revisar</t>
        </is>
      </c>
      <c r="B8">
        <f>SUMPRODUCT((Gastos!R2:R13="Pendiente de revisar")/COUNTIF(Gastos!A2:A13,Gastos!A2:A13))</f>
        <v/>
      </c>
    </row>
    <row r="10">
      <c r="A10" s="8" t="inlineStr">
        <is>
          <t>Tipo de IVA (%)</t>
        </is>
      </c>
      <c r="B10" s="8" t="inlineStr">
        <is>
          <t>Suma de bases (€)</t>
        </is>
      </c>
      <c r="C10" s="8" t="inlineStr">
        <is>
          <t>Suma de cuotas (€)</t>
        </is>
      </c>
    </row>
    <row r="11">
      <c r="A11" t="n">
        <v>21</v>
      </c>
      <c r="B11" s="9">
        <f>SUMIF(Gastos!I2:I13,A11,Gastos!J2:J13)</f>
        <v/>
      </c>
      <c r="C11" s="9">
        <f>SUMIF(Gastos!I2:I13,A11,Gastos!K2:K13)</f>
        <v/>
      </c>
    </row>
    <row r="12">
      <c r="A12" t="n">
        <v>10</v>
      </c>
      <c r="B12" s="9">
        <f>SUMIF(Gastos!I2:I13,A12,Gastos!J2:J13)</f>
        <v/>
      </c>
      <c r="C12" s="9">
        <f>SUMIF(Gastos!I2:I13,A12,Gastos!K2:K13)</f>
        <v/>
      </c>
    </row>
    <row r="13">
      <c r="A13" t="n">
        <v>4</v>
      </c>
      <c r="B13" s="9">
        <f>SUMIF(Gastos!I2:I13,A13,Gastos!J2:J13)</f>
        <v/>
      </c>
      <c r="C13" s="9">
        <f>SUMIF(Gastos!I2:I13,A13,Gastos!K2:K13)</f>
        <v/>
      </c>
    </row>
    <row r="15">
      <c r="A15" s="6" t="inlineStr">
        <is>
          <t>Total de gastos del periodo (€)</t>
        </is>
      </c>
      <c r="B15" s="9">
        <f>SUM(Gastos!M2:M13)</f>
        <v/>
      </c>
    </row>
    <row r="17">
      <c r="A17" s="10" t="inlineStr">
        <is>
          <t>Ticketon ordena los justificantes. Qué gastos son deducibles lo decide la gestoría.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2026-10-29T13:53:27Z</dcterms:created>
  <dcterms:modified xmlns:dcterms="http://purl.org/dc/terms/" xmlns:xsi="http://www.w3.org/2001/XMLSchema-instance" xsi:type="dcterms:W3CDTF">2026-10-29T13:53:27Z</dcterms:modified>
</cp:coreProperties>
</file>